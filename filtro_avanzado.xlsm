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ie\OneDrive\Documentos\proyectos\proyecto_excel\macros sencillas excel\"/>
    </mc:Choice>
  </mc:AlternateContent>
  <xr:revisionPtr revIDLastSave="0" documentId="13_ncr:1_{C19839CA-EC4B-4856-BCDD-D64D2BED5178}" xr6:coauthVersionLast="36" xr6:coauthVersionMax="36" xr10:uidLastSave="{00000000-0000-0000-0000-000000000000}"/>
  <bookViews>
    <workbookView xWindow="0" yWindow="0" windowWidth="24000" windowHeight="9525" xr2:uid="{00000000-000D-0000-FFFF-FFFF00000000}"/>
  </bookViews>
  <sheets>
    <sheet name="Clientes" sheetId="1" r:id="rId1"/>
  </sheets>
  <definedNames>
    <definedName name="_xlnm._FilterDatabase" localSheetId="0" hidden="1">Clientes!$A$7:$G$23</definedName>
    <definedName name="_xlnm.Extract" localSheetId="0">Clientes!$K$5</definedName>
    <definedName name="_xlnm.Criteria" localSheetId="0">Clientes!$A$4:$G$5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G9" i="1" s="1"/>
  <c r="E10" i="1"/>
  <c r="G10" i="1" s="1"/>
  <c r="E11" i="1"/>
  <c r="G11" i="1" s="1"/>
  <c r="E12" i="1"/>
  <c r="G12" i="1" s="1"/>
  <c r="E13" i="1"/>
  <c r="G13" i="1" s="1"/>
  <c r="E14" i="1"/>
  <c r="G14" i="1" s="1"/>
  <c r="E15" i="1"/>
  <c r="G15" i="1" s="1"/>
  <c r="E16" i="1"/>
  <c r="G16" i="1" s="1"/>
  <c r="E17" i="1"/>
  <c r="G17" i="1" s="1"/>
  <c r="E18" i="1"/>
  <c r="G18" i="1" s="1"/>
  <c r="E19" i="1"/>
  <c r="G19" i="1" s="1"/>
  <c r="E20" i="1"/>
  <c r="G20" i="1" s="1"/>
  <c r="E21" i="1"/>
  <c r="G21" i="1" s="1"/>
  <c r="E22" i="1"/>
  <c r="G22" i="1" s="1"/>
  <c r="E23" i="1"/>
  <c r="G23" i="1" s="1"/>
  <c r="E8" i="1"/>
  <c r="G8" i="1" s="1"/>
</calcChain>
</file>

<file path=xl/sharedStrings.xml><?xml version="1.0" encoding="utf-8"?>
<sst xmlns="http://schemas.openxmlformats.org/spreadsheetml/2006/main" count="63" uniqueCount="32">
  <si>
    <t>BASE DE DATOS CLIENTES</t>
  </si>
  <si>
    <t>SEXO</t>
  </si>
  <si>
    <t>CARGO</t>
  </si>
  <si>
    <t>SUELDO BASICO</t>
  </si>
  <si>
    <t>TOTAL SUEDO</t>
  </si>
  <si>
    <t>NOMBRES Y APELLIDOS</t>
  </si>
  <si>
    <t>DIAS TRAB.</t>
  </si>
  <si>
    <t>MASCULINO</t>
  </si>
  <si>
    <t>FEMENINO</t>
  </si>
  <si>
    <t>SECRETARIA/O</t>
  </si>
  <si>
    <t>Dostin Hurtado</t>
  </si>
  <si>
    <t>Sandy Olivera</t>
  </si>
  <si>
    <t>Oscar Hurtado</t>
  </si>
  <si>
    <t>Tatiana aya</t>
  </si>
  <si>
    <t>Luis Ramirez</t>
  </si>
  <si>
    <t>Carlos Cedeño</t>
  </si>
  <si>
    <t>Omar Corredor</t>
  </si>
  <si>
    <t>Carlos Andres</t>
  </si>
  <si>
    <t>Fuckencio Martinez</t>
  </si>
  <si>
    <t>Edgar Ortiz</t>
  </si>
  <si>
    <t>Alberto Ochoa</t>
  </si>
  <si>
    <t>Alejandra Guzman</t>
  </si>
  <si>
    <t>Jenny Colmenares</t>
  </si>
  <si>
    <t>Nelsy Pico</t>
  </si>
  <si>
    <t>Erika Herrera</t>
  </si>
  <si>
    <t>Trollencio Gimenes</t>
  </si>
  <si>
    <t>INGENIERO</t>
  </si>
  <si>
    <t>ORIENTADOR/A</t>
  </si>
  <si>
    <t>ECONOMISTA</t>
  </si>
  <si>
    <t>ABOGADO/A</t>
  </si>
  <si>
    <t>GERENTE</t>
  </si>
  <si>
    <t>DNI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</si>
</sst>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165" fontId="0" fillId="0" borderId="1" xfId="1" applyNumberFormat="1" applyFont="1" applyBorder="1"/>
    <xf numFmtId="0" fontId="3" fillId="2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2</xdr:row>
      <xdr:rowOff>161925</xdr:rowOff>
    </xdr:from>
    <xdr:to>
      <xdr:col>11</xdr:col>
      <xdr:colOff>361950</xdr:colOff>
      <xdr:row>5</xdr:row>
      <xdr:rowOff>19050</xdr:rowOff>
    </xdr:to>
    <xdr:sp macro="[0]!FiltroAvanzad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609600"/>
          <a:ext cx="17145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/>
            <a:t>Filtrar</a:t>
          </a:r>
          <a:endParaRPr lang="es-MX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2</xdr:row>
          <xdr:rowOff>171450</xdr:rowOff>
        </xdr:from>
        <xdr:to>
          <xdr:col>8</xdr:col>
          <xdr:colOff>704850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23"/>
  <sheetViews>
    <sheetView showGridLines="0" tabSelected="1" workbookViewId="0">
      <selection activeCell="M14" sqref="M14"/>
    </sheetView>
  </sheetViews>
  <sheetFormatPr baseColWidth="10" defaultRowHeight="15" x14ac:dyDescent="0.25"/>
  <cols>
    <col min="1" max="1" width="15.7109375" customWidth="1"/>
    <col min="2" max="2" width="26.140625" customWidth="1"/>
    <col min="3" max="5" width="15.7109375" customWidth="1"/>
    <col min="6" max="6" width="12" customWidth="1"/>
    <col min="7" max="7" width="15.7109375" customWidth="1"/>
  </cols>
  <sheetData>
    <row r="1" spans="1:7" ht="18.75" x14ac:dyDescent="0.3">
      <c r="A1" s="4" t="s">
        <v>0</v>
      </c>
      <c r="B1" s="4"/>
      <c r="C1" s="4"/>
      <c r="D1" s="4"/>
      <c r="E1" s="4"/>
      <c r="F1" s="4"/>
      <c r="G1" s="4"/>
    </row>
    <row r="2" spans="1:7" ht="16.5" customHeight="1" x14ac:dyDescent="0.25"/>
    <row r="4" spans="1:7" x14ac:dyDescent="0.25">
      <c r="A4" s="1" t="s">
        <v>31</v>
      </c>
      <c r="B4" s="1" t="s">
        <v>5</v>
      </c>
      <c r="C4" s="1" t="s">
        <v>1</v>
      </c>
      <c r="D4" s="1" t="s">
        <v>2</v>
      </c>
      <c r="E4" s="1" t="s">
        <v>3</v>
      </c>
      <c r="F4" s="1" t="s">
        <v>6</v>
      </c>
      <c r="G4" s="1" t="s">
        <v>4</v>
      </c>
    </row>
    <row r="5" spans="1:7" x14ac:dyDescent="0.25">
      <c r="A5" s="3"/>
      <c r="B5" s="2"/>
      <c r="C5" s="2"/>
      <c r="D5" s="2"/>
      <c r="E5" s="3"/>
      <c r="F5" s="3"/>
      <c r="G5" s="3"/>
    </row>
    <row r="7" spans="1:7" x14ac:dyDescent="0.25">
      <c r="A7" s="1" t="s">
        <v>31</v>
      </c>
      <c r="B7" s="1" t="s">
        <v>5</v>
      </c>
      <c r="C7" s="1" t="s">
        <v>1</v>
      </c>
      <c r="D7" s="1" t="s">
        <v>2</v>
      </c>
      <c r="E7" s="1" t="s">
        <v>3</v>
      </c>
      <c r="F7" s="1" t="s">
        <v>6</v>
      </c>
      <c r="G7" s="1" t="s">
        <v>4</v>
      </c>
    </row>
    <row r="8" spans="1:7" x14ac:dyDescent="0.25">
      <c r="A8" s="3">
        <v>1121885</v>
      </c>
      <c r="B8" s="2" t="s">
        <v>10</v>
      </c>
      <c r="C8" s="2" t="s">
        <v>7</v>
      </c>
      <c r="D8" s="2" t="s">
        <v>26</v>
      </c>
      <c r="E8" s="3">
        <f>IF(OR(D8="SECRETARIA/O",D8="ECONOMISTA",D8="ABOGADO/A",),1800000,3200000)</f>
        <v>3200000</v>
      </c>
      <c r="F8" s="3">
        <v>30</v>
      </c>
      <c r="G8" s="3">
        <f t="shared" ref="G8:G23" si="0">(E8/30)*F8</f>
        <v>3200000</v>
      </c>
    </row>
    <row r="9" spans="1:7" x14ac:dyDescent="0.25">
      <c r="A9" s="3">
        <v>1121886</v>
      </c>
      <c r="B9" s="2" t="s">
        <v>11</v>
      </c>
      <c r="C9" s="2" t="s">
        <v>8</v>
      </c>
      <c r="D9" s="2" t="s">
        <v>27</v>
      </c>
      <c r="E9" s="3">
        <f t="shared" ref="E9:E23" si="1">IF(OR(D9="SECRETARIA/O",D9="ECONOMISTA",D9="ABOGADO/A",),1800000,3200000)</f>
        <v>3200000</v>
      </c>
      <c r="F9" s="3">
        <v>18</v>
      </c>
      <c r="G9" s="3">
        <f t="shared" si="0"/>
        <v>1920000</v>
      </c>
    </row>
    <row r="10" spans="1:7" x14ac:dyDescent="0.25">
      <c r="A10" s="3">
        <v>1121887</v>
      </c>
      <c r="B10" s="2" t="s">
        <v>12</v>
      </c>
      <c r="C10" s="2" t="s">
        <v>7</v>
      </c>
      <c r="D10" s="2" t="s">
        <v>27</v>
      </c>
      <c r="E10" s="3">
        <f t="shared" si="1"/>
        <v>3200000</v>
      </c>
      <c r="F10" s="3">
        <v>19</v>
      </c>
      <c r="G10" s="3">
        <f t="shared" si="0"/>
        <v>2026666.6666666667</v>
      </c>
    </row>
    <row r="11" spans="1:7" x14ac:dyDescent="0.25">
      <c r="A11" s="3">
        <v>1121888</v>
      </c>
      <c r="B11" s="2" t="s">
        <v>13</v>
      </c>
      <c r="C11" s="2" t="s">
        <v>8</v>
      </c>
      <c r="D11" s="2" t="s">
        <v>9</v>
      </c>
      <c r="E11" s="3">
        <f t="shared" si="1"/>
        <v>1800000</v>
      </c>
      <c r="F11" s="3">
        <v>28</v>
      </c>
      <c r="G11" s="3">
        <f t="shared" si="0"/>
        <v>1680000</v>
      </c>
    </row>
    <row r="12" spans="1:7" x14ac:dyDescent="0.25">
      <c r="A12" s="3">
        <v>1121889</v>
      </c>
      <c r="B12" s="2" t="s">
        <v>14</v>
      </c>
      <c r="C12" s="2" t="s">
        <v>7</v>
      </c>
      <c r="D12" s="2" t="s">
        <v>28</v>
      </c>
      <c r="E12" s="3">
        <f t="shared" si="1"/>
        <v>1800000</v>
      </c>
      <c r="F12" s="3">
        <v>15</v>
      </c>
      <c r="G12" s="3">
        <f t="shared" si="0"/>
        <v>900000</v>
      </c>
    </row>
    <row r="13" spans="1:7" x14ac:dyDescent="0.25">
      <c r="A13" s="3">
        <v>1121890</v>
      </c>
      <c r="B13" s="2" t="s">
        <v>15</v>
      </c>
      <c r="C13" s="2" t="s">
        <v>7</v>
      </c>
      <c r="D13" s="2" t="s">
        <v>28</v>
      </c>
      <c r="E13" s="3">
        <f t="shared" si="1"/>
        <v>1800000</v>
      </c>
      <c r="F13" s="3">
        <v>25</v>
      </c>
      <c r="G13" s="3">
        <f t="shared" si="0"/>
        <v>1500000</v>
      </c>
    </row>
    <row r="14" spans="1:7" x14ac:dyDescent="0.25">
      <c r="A14" s="3">
        <v>1121891</v>
      </c>
      <c r="B14" s="2" t="s">
        <v>16</v>
      </c>
      <c r="C14" s="2" t="s">
        <v>7</v>
      </c>
      <c r="D14" s="2" t="s">
        <v>26</v>
      </c>
      <c r="E14" s="3">
        <f t="shared" si="1"/>
        <v>3200000</v>
      </c>
      <c r="F14" s="3">
        <v>10</v>
      </c>
      <c r="G14" s="3">
        <f t="shared" si="0"/>
        <v>1066666.6666666667</v>
      </c>
    </row>
    <row r="15" spans="1:7" x14ac:dyDescent="0.25">
      <c r="A15" s="3">
        <v>1121892</v>
      </c>
      <c r="B15" s="2" t="s">
        <v>17</v>
      </c>
      <c r="C15" s="2" t="s">
        <v>7</v>
      </c>
      <c r="D15" s="2" t="s">
        <v>29</v>
      </c>
      <c r="E15" s="3">
        <f t="shared" si="1"/>
        <v>1800000</v>
      </c>
      <c r="F15" s="3">
        <v>12</v>
      </c>
      <c r="G15" s="3">
        <f t="shared" si="0"/>
        <v>720000</v>
      </c>
    </row>
    <row r="16" spans="1:7" x14ac:dyDescent="0.25">
      <c r="A16" s="3">
        <v>1121893</v>
      </c>
      <c r="B16" s="2" t="s">
        <v>18</v>
      </c>
      <c r="C16" s="2" t="s">
        <v>7</v>
      </c>
      <c r="D16" s="2" t="s">
        <v>29</v>
      </c>
      <c r="E16" s="3">
        <f t="shared" si="1"/>
        <v>1800000</v>
      </c>
      <c r="F16" s="3">
        <v>14</v>
      </c>
      <c r="G16" s="3">
        <f t="shared" si="0"/>
        <v>840000</v>
      </c>
    </row>
    <row r="17" spans="1:7" x14ac:dyDescent="0.25">
      <c r="A17" s="3">
        <v>1121894</v>
      </c>
      <c r="B17" s="2" t="s">
        <v>19</v>
      </c>
      <c r="C17" s="2" t="s">
        <v>7</v>
      </c>
      <c r="D17" s="2" t="s">
        <v>30</v>
      </c>
      <c r="E17" s="3">
        <f t="shared" si="1"/>
        <v>3200000</v>
      </c>
      <c r="F17" s="3">
        <v>16</v>
      </c>
      <c r="G17" s="3">
        <f t="shared" si="0"/>
        <v>1706666.6666666667</v>
      </c>
    </row>
    <row r="18" spans="1:7" x14ac:dyDescent="0.25">
      <c r="A18" s="3">
        <v>1121895</v>
      </c>
      <c r="B18" s="2" t="s">
        <v>20</v>
      </c>
      <c r="C18" s="2" t="s">
        <v>7</v>
      </c>
      <c r="D18" s="2" t="s">
        <v>30</v>
      </c>
      <c r="E18" s="3">
        <f t="shared" si="1"/>
        <v>3200000</v>
      </c>
      <c r="F18" s="3">
        <v>18</v>
      </c>
      <c r="G18" s="3">
        <f t="shared" si="0"/>
        <v>1920000</v>
      </c>
    </row>
    <row r="19" spans="1:7" x14ac:dyDescent="0.25">
      <c r="A19" s="3">
        <v>1121896</v>
      </c>
      <c r="B19" s="2" t="s">
        <v>21</v>
      </c>
      <c r="C19" s="2" t="s">
        <v>8</v>
      </c>
      <c r="D19" s="2" t="s">
        <v>9</v>
      </c>
      <c r="E19" s="3">
        <f t="shared" si="1"/>
        <v>1800000</v>
      </c>
      <c r="F19" s="3">
        <v>20</v>
      </c>
      <c r="G19" s="3">
        <f t="shared" si="0"/>
        <v>1200000</v>
      </c>
    </row>
    <row r="20" spans="1:7" x14ac:dyDescent="0.25">
      <c r="A20" s="3">
        <v>1121897</v>
      </c>
      <c r="B20" s="2" t="s">
        <v>22</v>
      </c>
      <c r="C20" s="2" t="s">
        <v>8</v>
      </c>
      <c r="D20" s="2" t="s">
        <v>9</v>
      </c>
      <c r="E20" s="3">
        <f t="shared" si="1"/>
        <v>1800000</v>
      </c>
      <c r="F20" s="3">
        <v>22</v>
      </c>
      <c r="G20" s="3">
        <f t="shared" si="0"/>
        <v>1320000</v>
      </c>
    </row>
    <row r="21" spans="1:7" x14ac:dyDescent="0.25">
      <c r="A21" s="3">
        <v>1121898</v>
      </c>
      <c r="B21" s="2" t="s">
        <v>23</v>
      </c>
      <c r="C21" s="2" t="s">
        <v>8</v>
      </c>
      <c r="D21" s="2" t="s">
        <v>9</v>
      </c>
      <c r="E21" s="3">
        <f t="shared" si="1"/>
        <v>1800000</v>
      </c>
      <c r="F21" s="3">
        <v>24</v>
      </c>
      <c r="G21" s="3">
        <f t="shared" si="0"/>
        <v>1440000</v>
      </c>
    </row>
    <row r="22" spans="1:7" x14ac:dyDescent="0.25">
      <c r="A22" s="3">
        <v>1121899</v>
      </c>
      <c r="B22" s="2" t="s">
        <v>24</v>
      </c>
      <c r="C22" s="2" t="s">
        <v>8</v>
      </c>
      <c r="D22" s="2" t="s">
        <v>29</v>
      </c>
      <c r="E22" s="3">
        <f t="shared" si="1"/>
        <v>1800000</v>
      </c>
      <c r="F22" s="3">
        <v>26</v>
      </c>
      <c r="G22" s="3">
        <f t="shared" si="0"/>
        <v>1560000</v>
      </c>
    </row>
    <row r="23" spans="1:7" x14ac:dyDescent="0.25">
      <c r="A23" s="3">
        <v>1121900</v>
      </c>
      <c r="B23" s="2" t="s">
        <v>25</v>
      </c>
      <c r="C23" s="2" t="s">
        <v>7</v>
      </c>
      <c r="D23" s="2" t="s">
        <v>26</v>
      </c>
      <c r="E23" s="3">
        <f t="shared" si="1"/>
        <v>3200000</v>
      </c>
      <c r="F23" s="3">
        <v>28</v>
      </c>
      <c r="G23" s="3">
        <f t="shared" si="0"/>
        <v>2986666.666666667</v>
      </c>
    </row>
  </sheetData>
  <mergeCells count="1">
    <mergeCell ref="A1:G1"/>
  </mergeCells>
  <dataValidations xWindow="449" yWindow="306" count="3">
    <dataValidation type="textLength" allowBlank="1" showInputMessage="1" showErrorMessage="1" sqref="A8:A23 A5" xr:uid="{00000000-0002-0000-0000-000000000000}">
      <formula1>0</formula1>
      <formula2>10</formula2>
    </dataValidation>
    <dataValidation type="list" allowBlank="1" showInputMessage="1" showErrorMessage="1" sqref="D8:D23 D5" xr:uid="{00000000-0002-0000-0000-000001000000}">
      <formula1>"GERENTE,SECRETARIA/O,ABOGADO/A,ORIENTADOR/A,ECONOMISTA,INGENIERO"</formula1>
    </dataValidation>
    <dataValidation type="list" errorStyle="information" allowBlank="1" showErrorMessage="1" errorTitle="CUIDADO" error="POR FAVOR SOLO ELIGE UN DATO DE LA LISTA." promptTitle="GENERO" prompt="Por favor elige un genero de la lista." sqref="C8:C23 C5" xr:uid="{00000000-0002-0000-0000-000002000000}">
      <formula1>"FEMENINO,MASCULINO,OTRO"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oAvanzado">
                <anchor moveWithCells="1" sizeWithCells="1">
                  <from>
                    <xdr:col>7</xdr:col>
                    <xdr:colOff>171450</xdr:colOff>
                    <xdr:row>2</xdr:row>
                    <xdr:rowOff>171450</xdr:rowOff>
                  </from>
                  <to>
                    <xdr:col>8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Clientes</vt:lpstr>
      <vt:lpstr>Clientes!Área_de_extracción</vt:lpstr>
      <vt:lpstr>Clientes!Criterios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 Unidos</dc:creator>
  <cp:lastModifiedBy>Ing. Javier Blanco</cp:lastModifiedBy>
  <dcterms:created xsi:type="dcterms:W3CDTF">2013-11-11T16:14:00Z</dcterms:created>
  <dcterms:modified xsi:type="dcterms:W3CDTF">2020-05-28T18:48:46Z</dcterms:modified>
</cp:coreProperties>
</file>